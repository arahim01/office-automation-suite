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Tracker" sheetId="2" state="visible" r:id="rId4"/>
    <sheet name="App Backlog" sheetId="3" state="visible" r:id="rId5"/>
    <sheet name="Risk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<sst xmlns="http://schemas.openxmlformats.org/spreadsheetml/2006/main" count="279" uniqueCount="142">
  <si>
    <t xml:space="preserve">Office Automation Suite — Master Build Tracker</t>
  </si>
  <si>
    <t xml:space="preserve">42-day (6-week) build plan: Manager App + 10 automation modules</t>
  </si>
  <si>
    <t xml:space="preserve">Start Date</t>
  </si>
  <si>
    <t xml:space="preserve">Overall % Complete</t>
  </si>
  <si>
    <t xml:space="preserve">Target Launch Date</t>
  </si>
  <si>
    <t xml:space="preserve">Days Elapsed</t>
  </si>
  <si>
    <t xml:space="preserve">Days Remaining</t>
  </si>
  <si>
    <t xml:space="preserve">Module Status Summary</t>
  </si>
  <si>
    <t xml:space="preserve">Week</t>
  </si>
  <si>
    <t xml:space="preserve">Focus Area</t>
  </si>
  <si>
    <t xml:space="preserve">Modules</t>
  </si>
  <si>
    <t xml:space="preserve">Status</t>
  </si>
  <si>
    <t xml:space="preserve">% Complete</t>
  </si>
  <si>
    <t xml:space="preserve">Week 1
(Day 1-7)</t>
  </si>
  <si>
    <t xml:space="preserve">Foundation &amp; walking skeleton</t>
  </si>
  <si>
    <t xml:space="preserve">Invoice Parser (migrate), Meeting Summary (migrate), Manager App v0</t>
  </si>
  <si>
    <t xml:space="preserve">Not Started</t>
  </si>
  <si>
    <t xml:space="preserve">Week 2
(Day 8-14)</t>
  </si>
  <si>
    <t xml:space="preserve">Scheduling</t>
  </si>
  <si>
    <t xml:space="preserve">Appointment Scheduling, Appointment Prep Research</t>
  </si>
  <si>
    <t xml:space="preserve">Week 3
(Day 15-21)</t>
  </si>
  <si>
    <t xml:space="preserve">Email backbone</t>
  </si>
  <si>
    <t xml:space="preserve">Email Management (triage + send, built as a reusable service)</t>
  </si>
  <si>
    <t xml:space="preserve">Week 4
(Day 22-28)</t>
  </si>
  <si>
    <t xml:space="preserve">Revenue funnel, part 1</t>
  </si>
  <si>
    <t xml:space="preserve">Leads DB schema, Lead Generation, Prospecting</t>
  </si>
  <si>
    <t xml:space="preserve">Week 5
(Day 29-35)</t>
  </si>
  <si>
    <t xml:space="preserve">Revenue funnel, part 2 + support</t>
  </si>
  <si>
    <t xml:space="preserve">Follow-up, Customer Support</t>
  </si>
  <si>
    <t xml:space="preserve">Week 6
(Day 36-42)</t>
  </si>
  <si>
    <t xml:space="preserve">Final app + orchestration + hardening</t>
  </si>
  <si>
    <t xml:space="preserve">Content Creation, Manager App (full build), QA, deploy hardening</t>
  </si>
  <si>
    <t xml:space="preserve">% Complete (all tasks):</t>
  </si>
  <si>
    <t xml:space="preserve">Total tasks:</t>
  </si>
  <si>
    <t xml:space="preserve">Day</t>
  </si>
  <si>
    <t xml:space="preserve">Date</t>
  </si>
  <si>
    <t xml:space="preserve">Task / App</t>
  </si>
  <si>
    <t xml:space="preserve">Notes</t>
  </si>
  <si>
    <t xml:space="preserve">Week 1</t>
  </si>
  <si>
    <t xml:space="preserve">Repo scaffold, DB, deploy pipeline (Railway/Render) — get a live URL</t>
  </si>
  <si>
    <t xml:space="preserve">FastAPI skeleton + shared auth/db/email/calendar client modules</t>
  </si>
  <si>
    <t xml:space="preserve">Wrap invoice parser (TypeScript/Node) as its own HTTP service (/health, /run)</t>
  </si>
  <si>
    <t xml:space="preserve">Migrate Meeting Summary app into new backend</t>
  </si>
  <si>
    <t xml:space="preserve">Manager App v0: dashboard shell, module status view</t>
  </si>
  <si>
    <t xml:space="preserve">Manager App v0: manual trigger buttons for 2 migrated apps</t>
  </si>
  <si>
    <t xml:space="preserve">Week 1 review + fix issues (buffer)</t>
  </si>
  <si>
    <t xml:space="preserve">Week 2</t>
  </si>
  <si>
    <t xml:space="preserve">Appointment Scheduling: n8n prototype (calendar API auth + logic)</t>
  </si>
  <si>
    <t xml:space="preserve">Appointment Scheduling: port to Python module</t>
  </si>
  <si>
    <t xml:space="preserve">Appointment Scheduling: test + wire into Manager App</t>
  </si>
  <si>
    <t xml:space="preserve">Appointment Prep Research: n8n prototype (attendee/company lookups)</t>
  </si>
  <si>
    <t xml:space="preserve">Appointment Prep Research: port to Python module</t>
  </si>
  <si>
    <t xml:space="preserve">Appointment Prep Research: integrate with scheduling data + test</t>
  </si>
  <si>
    <t xml:space="preserve">Week 2 review + integration testing (buffer)</t>
  </si>
  <si>
    <t xml:space="preserve">Week 3</t>
  </si>
  <si>
    <t xml:space="preserve">Email Management: connect + authenticate all email accounts</t>
  </si>
  <si>
    <t xml:space="preserve">Email Management: categorization/triage logic prototype (n8n)</t>
  </si>
  <si>
    <t xml:space="preserve">Email Management: port core triage logic to Python</t>
  </si>
  <si>
    <t xml:space="preserve">Email Management: build as reusable service (callable by other apps)</t>
  </si>
  <si>
    <t xml:space="preserve">Email Management: build reusable send capability</t>
  </si>
  <si>
    <t xml:space="preserve">Email Management: test across all connected accounts</t>
  </si>
  <si>
    <t xml:space="preserve">Week 3 review + integration testing (buffer)</t>
  </si>
  <si>
    <t xml:space="preserve">Week 4</t>
  </si>
  <si>
    <t xml:space="preserve">Leads/contacts shared DB schema design</t>
  </si>
  <si>
    <t xml:space="preserve">Lead Generation: source integration + prototype (n8n)</t>
  </si>
  <si>
    <t xml:space="preserve">Lead Generation: port to Python, write to shared DB</t>
  </si>
  <si>
    <t xml:space="preserve">Lead Generation: test + validate data quality</t>
  </si>
  <si>
    <t xml:space="preserve">Prospecting: outreach logic prototype (n8n)</t>
  </si>
  <si>
    <t xml:space="preserve">Prospecting: port to Python, connect to leads DB</t>
  </si>
  <si>
    <t xml:space="preserve">Week 4 review + integration testing (buffer)</t>
  </si>
  <si>
    <t xml:space="preserve">Week 5</t>
  </si>
  <si>
    <t xml:space="preserve">Follow-up: sequencing/reminder logic prototype</t>
  </si>
  <si>
    <t xml:space="preserve">Follow-up: port to Python + integrate with leads funnel</t>
  </si>
  <si>
    <t xml:space="preserve">Follow-up: reuse Email Mgmt send service, test end-to-end</t>
  </si>
  <si>
    <t xml:space="preserve">Customer Support: ticket/inbox triage prototype</t>
  </si>
  <si>
    <t xml:space="preserve">Customer Support: port to Python, reuse Email Mgmt service</t>
  </si>
  <si>
    <t xml:space="preserve">Customer Support: test + validate</t>
  </si>
  <si>
    <t xml:space="preserve">Week 5 review + integration testing (buffer)</t>
  </si>
  <si>
    <t xml:space="preserve">Week 6</t>
  </si>
  <si>
    <t xml:space="preserve">Content Creation: prototype (drafts, templates)</t>
  </si>
  <si>
    <t xml:space="preserve">Content Creation: port to Python module</t>
  </si>
  <si>
    <t xml:space="preserve">Manager App: cross-module scheduling UI</t>
  </si>
  <si>
    <t xml:space="preserve">Manager App: unified logging + error alerts</t>
  </si>
  <si>
    <t xml:space="preserve">Manager App: polish + access controls</t>
  </si>
  <si>
    <t xml:space="preserve">End-to-end QA across all 10 modules</t>
  </si>
  <si>
    <t xml:space="preserve">Deploy hardening, backups, launch</t>
  </si>
  <si>
    <t xml:space="preserve">#</t>
  </si>
  <si>
    <t xml:space="preserve">App</t>
  </si>
  <si>
    <t xml:space="preserve">Priority</t>
  </si>
  <si>
    <t xml:space="preserve">Depends On</t>
  </si>
  <si>
    <t xml:space="preserve">Build Method</t>
  </si>
  <si>
    <t xml:space="preserve">Invoice Parser</t>
  </si>
  <si>
    <t xml:space="preserve">Existing</t>
  </si>
  <si>
    <t xml:space="preserve">—</t>
  </si>
  <si>
    <t xml:space="preserve">Keep as Node/TS microservice; expose HTTP API for Manager App</t>
  </si>
  <si>
    <t xml:space="preserve">No rewrite — runs as its own service, called over HTTP</t>
  </si>
  <si>
    <t xml:space="preserve">Meeting Summary (Daily Digest)</t>
  </si>
  <si>
    <t xml:space="preserve">Migrate existing script into FastAPI</t>
  </si>
  <si>
    <t xml:space="preserve">Already working; port logic, don't rebuild</t>
  </si>
  <si>
    <t xml:space="preserve">Appointment Scheduling</t>
  </si>
  <si>
    <t xml:space="preserve">High</t>
  </si>
  <si>
    <t xml:space="preserve">n8n prototype -&gt; Python</t>
  </si>
  <si>
    <t xml:space="preserve">Core dependency for Prep Research</t>
  </si>
  <si>
    <t xml:space="preserve">Appointment Prep Research</t>
  </si>
  <si>
    <t xml:space="preserve">Pulls meeting data to research attendees/companies</t>
  </si>
  <si>
    <t xml:space="preserve">Email Management</t>
  </si>
  <si>
    <t xml:space="preserve">Build robust — Follow-up, Support, Prospecting depend on it</t>
  </si>
  <si>
    <t xml:space="preserve">Lead Generation</t>
  </si>
  <si>
    <t xml:space="preserve">Medium</t>
  </si>
  <si>
    <t xml:space="preserve">Feeds shared leads/contacts DB</t>
  </si>
  <si>
    <t xml:space="preserve">Prospecting</t>
  </si>
  <si>
    <t xml:space="preserve">Reads from leads DB</t>
  </si>
  <si>
    <t xml:space="preserve">Follow-up</t>
  </si>
  <si>
    <t xml:space="preserve">Prospecting, Email Mgmt</t>
  </si>
  <si>
    <t xml:space="preserve">Reuses email sending + leads DB</t>
  </si>
  <si>
    <t xml:space="preserve">Customer Support</t>
  </si>
  <si>
    <t xml:space="preserve">Reuses inbox triage logic</t>
  </si>
  <si>
    <t xml:space="preserve">Content Creation</t>
  </si>
  <si>
    <t xml:space="preserve">Low</t>
  </si>
  <si>
    <t xml:space="preserve">Standalone, least urgent, build when time allows</t>
  </si>
  <si>
    <t xml:space="preserve">Manager App (Orchestrator)</t>
  </si>
  <si>
    <t xml:space="preserve">Critical</t>
  </si>
  <si>
    <t xml:space="preserve">All modules (incremental)</t>
  </si>
  <si>
    <t xml:space="preserve">Python (FastAPI + dashboard)</t>
  </si>
  <si>
    <t xml:space="preserve">v0 in Week 1, full build Week 4</t>
  </si>
  <si>
    <t xml:space="preserve">Risk</t>
  </si>
  <si>
    <t xml:space="preserve">Likelihood</t>
  </si>
  <si>
    <t xml:space="preserve">Impact</t>
  </si>
  <si>
    <t xml:space="preserve">Mitigation</t>
  </si>
  <si>
    <t xml:space="preserve">Building each app twice (no-code + Python) doubles timeline</t>
  </si>
  <si>
    <t xml:space="preserve">Use n8n only to validate unfamiliar API logic; skip it for apps whose logic you already know</t>
  </si>
  <si>
    <t xml:space="preserve">Open</t>
  </si>
  <si>
    <t xml:space="preserve">Manager App scope creep before modules exist</t>
  </si>
  <si>
    <t xml:space="preserve">Build Manager v0 as a thin shell in Week 1; add real orchestration only in Week 6</t>
  </si>
  <si>
    <t xml:space="preserve">Email/Calendar API rate limits or auth issues</t>
  </si>
  <si>
    <t xml:space="preserve">Test auth + rate limits in Week 1 before building app logic on top</t>
  </si>
  <si>
    <t xml:space="preserve">Shared leads DB schema changes mid-build breaks 3 apps</t>
  </si>
  <si>
    <t xml:space="preserve">Finalize leads/contacts schema before starting Lead Gen (Day 22)</t>
  </si>
  <si>
    <t xml:space="preserve">Slippage compounds across 6 weeks without checkpoints</t>
  </si>
  <si>
    <t xml:space="preserve">Each week ends with a dedicated review/buffer day (7,14,21,28,35,41-42) to absorb slippage before it carries forward</t>
  </si>
  <si>
    <t xml:space="preserve">Running two runtimes (Python + Node) complicates deployment</t>
  </si>
  <si>
    <t xml:space="preserve">Deploy as two services in the same Railway/Render project; Manager App treats the Node service like any other module via HTTP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</si>
</sst>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General"/>
    <numFmt numFmtId="168" formatCode="yyyy\-mm\-dd&quot; (&quot;ddd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563EB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7.35" hidden="false" customHeight="false" outlineLevel="0" collapsed="false">
      <c r="A4" s="3" t="s">
        <v>2</v>
      </c>
      <c r="B4" s="4" t="n">
        <v>46212</v>
      </c>
      <c r="D4" s="3" t="s">
        <v>3</v>
      </c>
      <c r="E4" s="5" t="n">
        <f aca="false">'Daily Tracker'!F2</f>
        <v>0</v>
      </c>
    </row>
    <row r="5" customFormat="false" ht="15" hidden="false" customHeight="false" outlineLevel="0" collapsed="false">
      <c r="A5" s="3" t="s">
        <v>4</v>
      </c>
      <c r="B5" s="4" t="n">
        <f aca="false">B4+41</f>
        <v>46253</v>
      </c>
    </row>
    <row r="6" customFormat="false" ht="15" hidden="false" customHeight="false" outlineLevel="0" collapsed="false">
      <c r="A6" s="3" t="s">
        <v>5</v>
      </c>
      <c r="B6" s="6" t="n">
        <f aca="true">TODAY()-B4</f>
        <v>0</v>
      </c>
    </row>
    <row r="7" customFormat="false" ht="15" hidden="false" customHeight="false" outlineLevel="0" collapsed="false">
      <c r="A7" s="3" t="s">
        <v>6</v>
      </c>
      <c r="B7" s="6" t="n">
        <f aca="false">42-B6</f>
        <v>42</v>
      </c>
    </row>
    <row r="9" customFormat="false" ht="16.15" hidden="false" customHeight="false" outlineLevel="0" collapsed="false">
      <c r="A9" s="7" t="s">
        <v>7</v>
      </c>
    </row>
    <row r="11" customFormat="false" ht="26.85" hidden="false" customHeight="false" outlineLevel="0" collapsed="false">
      <c r="A11" s="8" t="s">
        <v>8</v>
      </c>
      <c r="B11" s="8" t="s">
        <v>9</v>
      </c>
      <c r="C11" s="8" t="s">
        <v>10</v>
      </c>
      <c r="D11" s="8" t="s">
        <v>11</v>
      </c>
      <c r="E11" s="8" t="s">
        <v>12</v>
      </c>
    </row>
    <row r="12" customFormat="false" ht="23.85" hidden="false" customHeight="false" outlineLevel="0" collapsed="false">
      <c r="A12" s="9" t="s">
        <v>13</v>
      </c>
      <c r="B12" s="10" t="s">
        <v>14</v>
      </c>
      <c r="C12" s="9" t="s">
        <v>15</v>
      </c>
      <c r="D12" s="10" t="s">
        <v>16</v>
      </c>
      <c r="E12" s="11" t="n">
        <f aca="false">IFERROR(COUNTIFS('Daily Tracker'!$B:$B,"Week 1",'Daily Tracker'!$E:$E,"Done")/COUNTIF('Daily Tracker'!$B:$B,"Week 1"),0)</f>
        <v>0</v>
      </c>
    </row>
    <row r="13" customFormat="false" ht="23.85" hidden="false" customHeight="false" outlineLevel="0" collapsed="false">
      <c r="A13" s="9" t="s">
        <v>17</v>
      </c>
      <c r="B13" s="10" t="s">
        <v>18</v>
      </c>
      <c r="C13" s="9" t="s">
        <v>19</v>
      </c>
      <c r="D13" s="10" t="s">
        <v>16</v>
      </c>
      <c r="E13" s="11" t="n">
        <f aca="false">IFERROR(COUNTIFS('Daily Tracker'!$B:$B,"Week 2",'Daily Tracker'!$E:$E,"Done")/COUNTIF('Daily Tracker'!$B:$B,"Week 2"),0)</f>
        <v>0</v>
      </c>
    </row>
    <row r="14" customFormat="false" ht="23.85" hidden="false" customHeight="false" outlineLevel="0" collapsed="false">
      <c r="A14" s="9" t="s">
        <v>20</v>
      </c>
      <c r="B14" s="10" t="s">
        <v>21</v>
      </c>
      <c r="C14" s="9" t="s">
        <v>22</v>
      </c>
      <c r="D14" s="10" t="s">
        <v>16</v>
      </c>
      <c r="E14" s="11" t="n">
        <f aca="false">IFERROR(COUNTIFS('Daily Tracker'!$B:$B,"Week 3",'Daily Tracker'!$E:$E,"Done")/COUNTIF('Daily Tracker'!$B:$B,"Week 3"),0)</f>
        <v>0</v>
      </c>
    </row>
    <row r="15" customFormat="false" ht="23.85" hidden="false" customHeight="false" outlineLevel="0" collapsed="false">
      <c r="A15" s="9" t="s">
        <v>23</v>
      </c>
      <c r="B15" s="10" t="s">
        <v>24</v>
      </c>
      <c r="C15" s="9" t="s">
        <v>25</v>
      </c>
      <c r="D15" s="10" t="s">
        <v>16</v>
      </c>
      <c r="E15" s="11" t="n">
        <f aca="false">IFERROR(COUNTIFS('Daily Tracker'!$B:$B,"Week 4",'Daily Tracker'!$E:$E,"Done")/COUNTIF('Daily Tracker'!$B:$B,"Week 4"),0)</f>
        <v>0</v>
      </c>
    </row>
    <row r="16" customFormat="false" ht="23.85" hidden="false" customHeight="false" outlineLevel="0" collapsed="false">
      <c r="A16" s="9" t="s">
        <v>26</v>
      </c>
      <c r="B16" s="10" t="s">
        <v>27</v>
      </c>
      <c r="C16" s="9" t="s">
        <v>28</v>
      </c>
      <c r="D16" s="10" t="s">
        <v>16</v>
      </c>
      <c r="E16" s="11" t="n">
        <f aca="false">IFERROR(COUNTIFS('Daily Tracker'!$B:$B,"Week 5",'Daily Tracker'!$E:$E,"Done")/COUNTIF('Daily Tracker'!$B:$B,"Week 5"),0)</f>
        <v>0</v>
      </c>
    </row>
    <row r="17" customFormat="false" ht="23.85" hidden="false" customHeight="false" outlineLevel="0" collapsed="false">
      <c r="A17" s="9" t="s">
        <v>29</v>
      </c>
      <c r="B17" s="10" t="s">
        <v>30</v>
      </c>
      <c r="C17" s="9" t="s">
        <v>31</v>
      </c>
      <c r="D17" s="10" t="s">
        <v>16</v>
      </c>
      <c r="E17" s="11" t="n">
        <f aca="false">IFERROR(COUNTIFS('Daily Tracker'!$B:$B,"Week 6",'Daily Tracker'!$E:$E,"Done")/COUNTIF('Daily Tracker'!$B:$B,"Week 6"),0)</f>
        <v>0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D12:D17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55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3" t="s">
        <v>32</v>
      </c>
      <c r="E1" s="12" t="n">
        <f aca="false">COUNTIF(E3:E200,"Done")/COUNTA(E3:E200)</f>
        <v>0</v>
      </c>
      <c r="F1" s="3" t="s">
        <v>33</v>
      </c>
      <c r="G1" s="6" t="n">
        <f aca="false">COUNTA(E3:E200)</f>
        <v>42</v>
      </c>
    </row>
    <row r="2" customFormat="false" ht="15" hidden="false" customHeight="false" outlineLevel="0" collapsed="false">
      <c r="A2" s="8" t="s">
        <v>34</v>
      </c>
      <c r="B2" s="8" t="s">
        <v>8</v>
      </c>
      <c r="C2" s="8" t="s">
        <v>35</v>
      </c>
      <c r="D2" s="8" t="s">
        <v>36</v>
      </c>
      <c r="E2" s="8" t="s">
        <v>11</v>
      </c>
      <c r="F2" s="13" t="n">
        <f aca="false">E1</f>
        <v>0</v>
      </c>
      <c r="G2" s="8" t="s">
        <v>37</v>
      </c>
    </row>
    <row r="3" customFormat="false" ht="23.85" hidden="false" customHeight="false" outlineLevel="0" collapsed="false">
      <c r="A3" s="10" t="n">
        <v>1</v>
      </c>
      <c r="B3" s="10" t="s">
        <v>38</v>
      </c>
      <c r="C3" s="14" t="n">
        <v>46212</v>
      </c>
      <c r="D3" s="9" t="s">
        <v>39</v>
      </c>
      <c r="E3" s="10" t="s">
        <v>16</v>
      </c>
      <c r="F3" s="10"/>
      <c r="G3" s="10"/>
    </row>
    <row r="4" customFormat="false" ht="15" hidden="false" customHeight="false" outlineLevel="0" collapsed="false">
      <c r="A4" s="10" t="n">
        <v>2</v>
      </c>
      <c r="B4" s="10" t="s">
        <v>38</v>
      </c>
      <c r="C4" s="14" t="n">
        <v>46213</v>
      </c>
      <c r="D4" s="9" t="s">
        <v>40</v>
      </c>
      <c r="E4" s="10" t="s">
        <v>16</v>
      </c>
      <c r="F4" s="10"/>
      <c r="G4" s="10"/>
    </row>
    <row r="5" customFormat="false" ht="23.85" hidden="false" customHeight="false" outlineLevel="0" collapsed="false">
      <c r="A5" s="10" t="n">
        <v>3</v>
      </c>
      <c r="B5" s="10" t="s">
        <v>38</v>
      </c>
      <c r="C5" s="14" t="n">
        <v>46214</v>
      </c>
      <c r="D5" s="9" t="s">
        <v>41</v>
      </c>
      <c r="E5" s="10" t="s">
        <v>16</v>
      </c>
      <c r="F5" s="10"/>
      <c r="G5" s="10"/>
    </row>
    <row r="6" customFormat="false" ht="15" hidden="false" customHeight="false" outlineLevel="0" collapsed="false">
      <c r="A6" s="10" t="n">
        <v>4</v>
      </c>
      <c r="B6" s="10" t="s">
        <v>38</v>
      </c>
      <c r="C6" s="14" t="n">
        <v>46215</v>
      </c>
      <c r="D6" s="9" t="s">
        <v>42</v>
      </c>
      <c r="E6" s="10" t="s">
        <v>16</v>
      </c>
      <c r="F6" s="10"/>
      <c r="G6" s="10"/>
    </row>
    <row r="7" customFormat="false" ht="15" hidden="false" customHeight="false" outlineLevel="0" collapsed="false">
      <c r="A7" s="10" t="n">
        <v>5</v>
      </c>
      <c r="B7" s="10" t="s">
        <v>38</v>
      </c>
      <c r="C7" s="14" t="n">
        <v>46216</v>
      </c>
      <c r="D7" s="9" t="s">
        <v>43</v>
      </c>
      <c r="E7" s="10" t="s">
        <v>16</v>
      </c>
      <c r="F7" s="10"/>
      <c r="G7" s="10"/>
    </row>
    <row r="8" customFormat="false" ht="15" hidden="false" customHeight="false" outlineLevel="0" collapsed="false">
      <c r="A8" s="10" t="n">
        <v>6</v>
      </c>
      <c r="B8" s="10" t="s">
        <v>38</v>
      </c>
      <c r="C8" s="14" t="n">
        <v>46217</v>
      </c>
      <c r="D8" s="9" t="s">
        <v>44</v>
      </c>
      <c r="E8" s="10" t="s">
        <v>16</v>
      </c>
      <c r="F8" s="10"/>
      <c r="G8" s="10"/>
    </row>
    <row r="9" customFormat="false" ht="15" hidden="false" customHeight="false" outlineLevel="0" collapsed="false">
      <c r="A9" s="10" t="n">
        <v>7</v>
      </c>
      <c r="B9" s="10" t="s">
        <v>38</v>
      </c>
      <c r="C9" s="14" t="n">
        <v>46218</v>
      </c>
      <c r="D9" s="9" t="s">
        <v>45</v>
      </c>
      <c r="E9" s="10" t="s">
        <v>16</v>
      </c>
      <c r="F9" s="10"/>
      <c r="G9" s="10"/>
    </row>
    <row r="10" customFormat="false" ht="15" hidden="false" customHeight="false" outlineLevel="0" collapsed="false">
      <c r="A10" s="10" t="n">
        <v>8</v>
      </c>
      <c r="B10" s="10" t="s">
        <v>46</v>
      </c>
      <c r="C10" s="14" t="n">
        <v>46219</v>
      </c>
      <c r="D10" s="9" t="s">
        <v>47</v>
      </c>
      <c r="E10" s="10" t="s">
        <v>16</v>
      </c>
      <c r="F10" s="10"/>
      <c r="G10" s="10"/>
    </row>
    <row r="11" customFormat="false" ht="15" hidden="false" customHeight="false" outlineLevel="0" collapsed="false">
      <c r="A11" s="10" t="n">
        <v>9</v>
      </c>
      <c r="B11" s="10" t="s">
        <v>46</v>
      </c>
      <c r="C11" s="14" t="n">
        <v>46220</v>
      </c>
      <c r="D11" s="9" t="s">
        <v>48</v>
      </c>
      <c r="E11" s="10" t="s">
        <v>16</v>
      </c>
      <c r="F11" s="10"/>
      <c r="G11" s="10"/>
    </row>
    <row r="12" customFormat="false" ht="15" hidden="false" customHeight="false" outlineLevel="0" collapsed="false">
      <c r="A12" s="10" t="n">
        <v>10</v>
      </c>
      <c r="B12" s="10" t="s">
        <v>46</v>
      </c>
      <c r="C12" s="14" t="n">
        <v>46221</v>
      </c>
      <c r="D12" s="9" t="s">
        <v>49</v>
      </c>
      <c r="E12" s="10" t="s">
        <v>16</v>
      </c>
      <c r="F12" s="10"/>
      <c r="G12" s="10"/>
    </row>
    <row r="13" customFormat="false" ht="23.85" hidden="false" customHeight="false" outlineLevel="0" collapsed="false">
      <c r="A13" s="10" t="n">
        <v>11</v>
      </c>
      <c r="B13" s="10" t="s">
        <v>46</v>
      </c>
      <c r="C13" s="14" t="n">
        <v>46222</v>
      </c>
      <c r="D13" s="9" t="s">
        <v>50</v>
      </c>
      <c r="E13" s="10" t="s">
        <v>16</v>
      </c>
      <c r="F13" s="10"/>
      <c r="G13" s="10"/>
    </row>
    <row r="14" customFormat="false" ht="15" hidden="false" customHeight="false" outlineLevel="0" collapsed="false">
      <c r="A14" s="10" t="n">
        <v>12</v>
      </c>
      <c r="B14" s="10" t="s">
        <v>46</v>
      </c>
      <c r="C14" s="14" t="n">
        <v>46223</v>
      </c>
      <c r="D14" s="9" t="s">
        <v>51</v>
      </c>
      <c r="E14" s="10" t="s">
        <v>16</v>
      </c>
      <c r="F14" s="10"/>
      <c r="G14" s="10"/>
    </row>
    <row r="15" customFormat="false" ht="15" hidden="false" customHeight="false" outlineLevel="0" collapsed="false">
      <c r="A15" s="10" t="n">
        <v>13</v>
      </c>
      <c r="B15" s="10" t="s">
        <v>46</v>
      </c>
      <c r="C15" s="14" t="n">
        <v>46224</v>
      </c>
      <c r="D15" s="9" t="s">
        <v>52</v>
      </c>
      <c r="E15" s="10" t="s">
        <v>16</v>
      </c>
      <c r="F15" s="10"/>
      <c r="G15" s="10"/>
    </row>
    <row r="16" customFormat="false" ht="15" hidden="false" customHeight="false" outlineLevel="0" collapsed="false">
      <c r="A16" s="10" t="n">
        <v>14</v>
      </c>
      <c r="B16" s="10" t="s">
        <v>46</v>
      </c>
      <c r="C16" s="14" t="n">
        <v>46225</v>
      </c>
      <c r="D16" s="9" t="s">
        <v>53</v>
      </c>
      <c r="E16" s="10" t="s">
        <v>16</v>
      </c>
      <c r="F16" s="10"/>
      <c r="G16" s="10"/>
    </row>
    <row r="17" customFormat="false" ht="15" hidden="false" customHeight="false" outlineLevel="0" collapsed="false">
      <c r="A17" s="10" t="n">
        <v>15</v>
      </c>
      <c r="B17" s="10" t="s">
        <v>54</v>
      </c>
      <c r="C17" s="14" t="n">
        <v>46226</v>
      </c>
      <c r="D17" s="9" t="s">
        <v>55</v>
      </c>
      <c r="E17" s="10" t="s">
        <v>16</v>
      </c>
      <c r="F17" s="10"/>
      <c r="G17" s="10"/>
    </row>
    <row r="18" customFormat="false" ht="15" hidden="false" customHeight="false" outlineLevel="0" collapsed="false">
      <c r="A18" s="10" t="n">
        <v>16</v>
      </c>
      <c r="B18" s="10" t="s">
        <v>54</v>
      </c>
      <c r="C18" s="14" t="n">
        <v>46227</v>
      </c>
      <c r="D18" s="9" t="s">
        <v>56</v>
      </c>
      <c r="E18" s="10" t="s">
        <v>16</v>
      </c>
      <c r="F18" s="10"/>
      <c r="G18" s="10"/>
    </row>
    <row r="19" customFormat="false" ht="15" hidden="false" customHeight="false" outlineLevel="0" collapsed="false">
      <c r="A19" s="10" t="n">
        <v>17</v>
      </c>
      <c r="B19" s="10" t="s">
        <v>54</v>
      </c>
      <c r="C19" s="14" t="n">
        <v>46228</v>
      </c>
      <c r="D19" s="9" t="s">
        <v>57</v>
      </c>
      <c r="E19" s="10" t="s">
        <v>16</v>
      </c>
      <c r="F19" s="10"/>
      <c r="G19" s="10"/>
    </row>
    <row r="20" customFormat="false" ht="23.85" hidden="false" customHeight="false" outlineLevel="0" collapsed="false">
      <c r="A20" s="10" t="n">
        <v>18</v>
      </c>
      <c r="B20" s="10" t="s">
        <v>54</v>
      </c>
      <c r="C20" s="14" t="n">
        <v>46229</v>
      </c>
      <c r="D20" s="9" t="s">
        <v>58</v>
      </c>
      <c r="E20" s="10" t="s">
        <v>16</v>
      </c>
      <c r="F20" s="10"/>
      <c r="G20" s="10"/>
    </row>
    <row r="21" customFormat="false" ht="15" hidden="false" customHeight="false" outlineLevel="0" collapsed="false">
      <c r="A21" s="10" t="n">
        <v>19</v>
      </c>
      <c r="B21" s="10" t="s">
        <v>54</v>
      </c>
      <c r="C21" s="14" t="n">
        <v>46230</v>
      </c>
      <c r="D21" s="9" t="s">
        <v>59</v>
      </c>
      <c r="E21" s="10" t="s">
        <v>16</v>
      </c>
      <c r="F21" s="10"/>
      <c r="G21" s="10"/>
    </row>
    <row r="22" customFormat="false" ht="15" hidden="false" customHeight="false" outlineLevel="0" collapsed="false">
      <c r="A22" s="10" t="n">
        <v>20</v>
      </c>
      <c r="B22" s="10" t="s">
        <v>54</v>
      </c>
      <c r="C22" s="14" t="n">
        <v>46231</v>
      </c>
      <c r="D22" s="9" t="s">
        <v>60</v>
      </c>
      <c r="E22" s="10" t="s">
        <v>16</v>
      </c>
      <c r="F22" s="10"/>
      <c r="G22" s="10"/>
    </row>
    <row r="23" customFormat="false" ht="15" hidden="false" customHeight="false" outlineLevel="0" collapsed="false">
      <c r="A23" s="10" t="n">
        <v>21</v>
      </c>
      <c r="B23" s="10" t="s">
        <v>54</v>
      </c>
      <c r="C23" s="14" t="n">
        <v>46232</v>
      </c>
      <c r="D23" s="9" t="s">
        <v>61</v>
      </c>
      <c r="E23" s="10" t="s">
        <v>16</v>
      </c>
      <c r="F23" s="10"/>
      <c r="G23" s="10"/>
    </row>
    <row r="24" customFormat="false" ht="15" hidden="false" customHeight="false" outlineLevel="0" collapsed="false">
      <c r="A24" s="10" t="n">
        <v>22</v>
      </c>
      <c r="B24" s="10" t="s">
        <v>62</v>
      </c>
      <c r="C24" s="14" t="n">
        <v>46233</v>
      </c>
      <c r="D24" s="9" t="s">
        <v>63</v>
      </c>
      <c r="E24" s="10" t="s">
        <v>16</v>
      </c>
      <c r="F24" s="10"/>
      <c r="G24" s="10"/>
    </row>
    <row r="25" customFormat="false" ht="15" hidden="false" customHeight="false" outlineLevel="0" collapsed="false">
      <c r="A25" s="10" t="n">
        <v>23</v>
      </c>
      <c r="B25" s="10" t="s">
        <v>62</v>
      </c>
      <c r="C25" s="14" t="n">
        <v>46234</v>
      </c>
      <c r="D25" s="9" t="s">
        <v>64</v>
      </c>
      <c r="E25" s="10" t="s">
        <v>16</v>
      </c>
      <c r="F25" s="10"/>
      <c r="G25" s="10"/>
    </row>
    <row r="26" customFormat="false" ht="15" hidden="false" customHeight="false" outlineLevel="0" collapsed="false">
      <c r="A26" s="10" t="n">
        <v>24</v>
      </c>
      <c r="B26" s="10" t="s">
        <v>62</v>
      </c>
      <c r="C26" s="14" t="n">
        <v>46235</v>
      </c>
      <c r="D26" s="9" t="s">
        <v>65</v>
      </c>
      <c r="E26" s="10" t="s">
        <v>16</v>
      </c>
      <c r="F26" s="10"/>
      <c r="G26" s="10"/>
    </row>
    <row r="27" customFormat="false" ht="15" hidden="false" customHeight="false" outlineLevel="0" collapsed="false">
      <c r="A27" s="10" t="n">
        <v>25</v>
      </c>
      <c r="B27" s="10" t="s">
        <v>62</v>
      </c>
      <c r="C27" s="14" t="n">
        <v>46236</v>
      </c>
      <c r="D27" s="9" t="s">
        <v>66</v>
      </c>
      <c r="E27" s="10" t="s">
        <v>16</v>
      </c>
      <c r="F27" s="10"/>
      <c r="G27" s="10"/>
    </row>
    <row r="28" customFormat="false" ht="15" hidden="false" customHeight="false" outlineLevel="0" collapsed="false">
      <c r="A28" s="10" t="n">
        <v>26</v>
      </c>
      <c r="B28" s="10" t="s">
        <v>62</v>
      </c>
      <c r="C28" s="14" t="n">
        <v>46237</v>
      </c>
      <c r="D28" s="9" t="s">
        <v>67</v>
      </c>
      <c r="E28" s="10" t="s">
        <v>16</v>
      </c>
      <c r="F28" s="10"/>
      <c r="G28" s="10"/>
    </row>
    <row r="29" customFormat="false" ht="15" hidden="false" customHeight="false" outlineLevel="0" collapsed="false">
      <c r="A29" s="10" t="n">
        <v>27</v>
      </c>
      <c r="B29" s="10" t="s">
        <v>62</v>
      </c>
      <c r="C29" s="14" t="n">
        <v>46238</v>
      </c>
      <c r="D29" s="9" t="s">
        <v>68</v>
      </c>
      <c r="E29" s="10" t="s">
        <v>16</v>
      </c>
      <c r="F29" s="10"/>
      <c r="G29" s="10"/>
    </row>
    <row r="30" customFormat="false" ht="15" hidden="false" customHeight="false" outlineLevel="0" collapsed="false">
      <c r="A30" s="10" t="n">
        <v>28</v>
      </c>
      <c r="B30" s="10" t="s">
        <v>62</v>
      </c>
      <c r="C30" s="14" t="n">
        <v>46239</v>
      </c>
      <c r="D30" s="9" t="s">
        <v>69</v>
      </c>
      <c r="E30" s="10" t="s">
        <v>16</v>
      </c>
      <c r="F30" s="10"/>
      <c r="G30" s="10"/>
    </row>
    <row r="31" customFormat="false" ht="15" hidden="false" customHeight="false" outlineLevel="0" collapsed="false">
      <c r="A31" s="10" t="n">
        <v>29</v>
      </c>
      <c r="B31" s="10" t="s">
        <v>70</v>
      </c>
      <c r="C31" s="14" t="n">
        <v>46240</v>
      </c>
      <c r="D31" s="9" t="s">
        <v>71</v>
      </c>
      <c r="E31" s="10" t="s">
        <v>16</v>
      </c>
      <c r="F31" s="10"/>
      <c r="G31" s="10"/>
    </row>
    <row r="32" customFormat="false" ht="15" hidden="false" customHeight="false" outlineLevel="0" collapsed="false">
      <c r="A32" s="10" t="n">
        <v>30</v>
      </c>
      <c r="B32" s="10" t="s">
        <v>70</v>
      </c>
      <c r="C32" s="14" t="n">
        <v>46241</v>
      </c>
      <c r="D32" s="9" t="s">
        <v>72</v>
      </c>
      <c r="E32" s="10" t="s">
        <v>16</v>
      </c>
      <c r="F32" s="10"/>
      <c r="G32" s="10"/>
    </row>
    <row r="33" customFormat="false" ht="15" hidden="false" customHeight="false" outlineLevel="0" collapsed="false">
      <c r="A33" s="10" t="n">
        <v>31</v>
      </c>
      <c r="B33" s="10" t="s">
        <v>70</v>
      </c>
      <c r="C33" s="14" t="n">
        <v>46242</v>
      </c>
      <c r="D33" s="9" t="s">
        <v>73</v>
      </c>
      <c r="E33" s="10" t="s">
        <v>16</v>
      </c>
      <c r="F33" s="10"/>
      <c r="G33" s="10"/>
    </row>
    <row r="34" customFormat="false" ht="15" hidden="false" customHeight="false" outlineLevel="0" collapsed="false">
      <c r="A34" s="10" t="n">
        <v>32</v>
      </c>
      <c r="B34" s="10" t="s">
        <v>70</v>
      </c>
      <c r="C34" s="14" t="n">
        <v>46243</v>
      </c>
      <c r="D34" s="9" t="s">
        <v>74</v>
      </c>
      <c r="E34" s="10" t="s">
        <v>16</v>
      </c>
      <c r="F34" s="10"/>
      <c r="G34" s="10"/>
    </row>
    <row r="35" customFormat="false" ht="15" hidden="false" customHeight="false" outlineLevel="0" collapsed="false">
      <c r="A35" s="10" t="n">
        <v>33</v>
      </c>
      <c r="B35" s="10" t="s">
        <v>70</v>
      </c>
      <c r="C35" s="14" t="n">
        <v>46244</v>
      </c>
      <c r="D35" s="9" t="s">
        <v>75</v>
      </c>
      <c r="E35" s="10" t="s">
        <v>16</v>
      </c>
      <c r="F35" s="10"/>
      <c r="G35" s="10"/>
    </row>
    <row r="36" customFormat="false" ht="15" hidden="false" customHeight="false" outlineLevel="0" collapsed="false">
      <c r="A36" s="10" t="n">
        <v>34</v>
      </c>
      <c r="B36" s="10" t="s">
        <v>70</v>
      </c>
      <c r="C36" s="14" t="n">
        <v>46245</v>
      </c>
      <c r="D36" s="9" t="s">
        <v>76</v>
      </c>
      <c r="E36" s="10" t="s">
        <v>16</v>
      </c>
      <c r="F36" s="10"/>
      <c r="G36" s="10"/>
    </row>
    <row r="37" customFormat="false" ht="15" hidden="false" customHeight="false" outlineLevel="0" collapsed="false">
      <c r="A37" s="10" t="n">
        <v>35</v>
      </c>
      <c r="B37" s="10" t="s">
        <v>70</v>
      </c>
      <c r="C37" s="14" t="n">
        <v>46246</v>
      </c>
      <c r="D37" s="9" t="s">
        <v>77</v>
      </c>
      <c r="E37" s="10" t="s">
        <v>16</v>
      </c>
      <c r="F37" s="10"/>
      <c r="G37" s="10"/>
    </row>
    <row r="38" customFormat="false" ht="15" hidden="false" customHeight="false" outlineLevel="0" collapsed="false">
      <c r="A38" s="10" t="n">
        <v>36</v>
      </c>
      <c r="B38" s="10" t="s">
        <v>78</v>
      </c>
      <c r="C38" s="14" t="n">
        <v>46247</v>
      </c>
      <c r="D38" s="9" t="s">
        <v>79</v>
      </c>
      <c r="E38" s="10" t="s">
        <v>16</v>
      </c>
      <c r="F38" s="10"/>
      <c r="G38" s="10"/>
    </row>
    <row r="39" customFormat="false" ht="15" hidden="false" customHeight="false" outlineLevel="0" collapsed="false">
      <c r="A39" s="10" t="n">
        <v>37</v>
      </c>
      <c r="B39" s="10" t="s">
        <v>78</v>
      </c>
      <c r="C39" s="14" t="n">
        <v>46248</v>
      </c>
      <c r="D39" s="9" t="s">
        <v>80</v>
      </c>
      <c r="E39" s="10" t="s">
        <v>16</v>
      </c>
      <c r="F39" s="10"/>
      <c r="G39" s="10"/>
    </row>
    <row r="40" customFormat="false" ht="15" hidden="false" customHeight="false" outlineLevel="0" collapsed="false">
      <c r="A40" s="10" t="n">
        <v>38</v>
      </c>
      <c r="B40" s="10" t="s">
        <v>78</v>
      </c>
      <c r="C40" s="14" t="n">
        <v>46249</v>
      </c>
      <c r="D40" s="9" t="s">
        <v>81</v>
      </c>
      <c r="E40" s="10" t="s">
        <v>16</v>
      </c>
      <c r="F40" s="10"/>
      <c r="G40" s="10"/>
    </row>
    <row r="41" customFormat="false" ht="15" hidden="false" customHeight="false" outlineLevel="0" collapsed="false">
      <c r="A41" s="10" t="n">
        <v>39</v>
      </c>
      <c r="B41" s="10" t="s">
        <v>78</v>
      </c>
      <c r="C41" s="14" t="n">
        <v>46250</v>
      </c>
      <c r="D41" s="9" t="s">
        <v>82</v>
      </c>
      <c r="E41" s="10" t="s">
        <v>16</v>
      </c>
      <c r="F41" s="10"/>
      <c r="G41" s="10"/>
    </row>
    <row r="42" customFormat="false" ht="15" hidden="false" customHeight="false" outlineLevel="0" collapsed="false">
      <c r="A42" s="10" t="n">
        <v>40</v>
      </c>
      <c r="B42" s="10" t="s">
        <v>78</v>
      </c>
      <c r="C42" s="14" t="n">
        <v>46251</v>
      </c>
      <c r="D42" s="9" t="s">
        <v>83</v>
      </c>
      <c r="E42" s="10" t="s">
        <v>16</v>
      </c>
      <c r="F42" s="10"/>
      <c r="G42" s="10"/>
    </row>
    <row r="43" customFormat="false" ht="15" hidden="false" customHeight="false" outlineLevel="0" collapsed="false">
      <c r="A43" s="10" t="n">
        <v>41</v>
      </c>
      <c r="B43" s="10" t="s">
        <v>78</v>
      </c>
      <c r="C43" s="14" t="n">
        <v>46252</v>
      </c>
      <c r="D43" s="9" t="s">
        <v>84</v>
      </c>
      <c r="E43" s="10" t="s">
        <v>16</v>
      </c>
      <c r="F43" s="10"/>
      <c r="G43" s="10"/>
    </row>
    <row r="44" customFormat="false" ht="15" hidden="false" customHeight="false" outlineLevel="0" collapsed="false">
      <c r="A44" s="10" t="n">
        <v>42</v>
      </c>
      <c r="B44" s="10" t="s">
        <v>78</v>
      </c>
      <c r="C44" s="14" t="n">
        <v>46253</v>
      </c>
      <c r="D44" s="9" t="s">
        <v>85</v>
      </c>
      <c r="E44" s="10" t="s">
        <v>16</v>
      </c>
      <c r="F44" s="10"/>
      <c r="G44" s="10"/>
    </row>
  </sheetData>
  <dataValidations count="1">
    <dataValidation allowBlank="true" errorStyle="stop" operator="between" showDropDown="false" showErrorMessage="false" showInputMessage="false" sqref="E3:E44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8" t="s">
        <v>86</v>
      </c>
      <c r="B1" s="8" t="s">
        <v>87</v>
      </c>
      <c r="C1" s="8" t="s">
        <v>88</v>
      </c>
      <c r="D1" s="8" t="s">
        <v>89</v>
      </c>
      <c r="E1" s="8" t="s">
        <v>90</v>
      </c>
      <c r="F1" s="8" t="s">
        <v>11</v>
      </c>
      <c r="G1" s="8" t="s">
        <v>37</v>
      </c>
    </row>
    <row r="2" customFormat="false" ht="23.85" hidden="false" customHeight="false" outlineLevel="0" collapsed="false">
      <c r="A2" s="10" t="n">
        <v>1</v>
      </c>
      <c r="B2" s="9" t="s">
        <v>91</v>
      </c>
      <c r="C2" s="10" t="s">
        <v>92</v>
      </c>
      <c r="D2" s="10" t="s">
        <v>93</v>
      </c>
      <c r="E2" s="10" t="s">
        <v>94</v>
      </c>
      <c r="F2" s="10" t="s">
        <v>16</v>
      </c>
      <c r="G2" s="9" t="s">
        <v>95</v>
      </c>
    </row>
    <row r="3" customFormat="false" ht="15" hidden="false" customHeight="false" outlineLevel="0" collapsed="false">
      <c r="A3" s="10" t="n">
        <v>2</v>
      </c>
      <c r="B3" s="9" t="s">
        <v>96</v>
      </c>
      <c r="C3" s="10" t="s">
        <v>92</v>
      </c>
      <c r="D3" s="10" t="s">
        <v>93</v>
      </c>
      <c r="E3" s="10" t="s">
        <v>97</v>
      </c>
      <c r="F3" s="10" t="s">
        <v>16</v>
      </c>
      <c r="G3" s="9" t="s">
        <v>98</v>
      </c>
    </row>
    <row r="4" customFormat="false" ht="15" hidden="false" customHeight="false" outlineLevel="0" collapsed="false">
      <c r="A4" s="10" t="n">
        <v>3</v>
      </c>
      <c r="B4" s="9" t="s">
        <v>99</v>
      </c>
      <c r="C4" s="10" t="s">
        <v>100</v>
      </c>
      <c r="D4" s="10" t="s">
        <v>93</v>
      </c>
      <c r="E4" s="10" t="s">
        <v>101</v>
      </c>
      <c r="F4" s="10" t="s">
        <v>16</v>
      </c>
      <c r="G4" s="9" t="s">
        <v>102</v>
      </c>
    </row>
    <row r="5" customFormat="false" ht="23.85" hidden="false" customHeight="false" outlineLevel="0" collapsed="false">
      <c r="A5" s="10" t="n">
        <v>4</v>
      </c>
      <c r="B5" s="9" t="s">
        <v>103</v>
      </c>
      <c r="C5" s="10" t="s">
        <v>100</v>
      </c>
      <c r="D5" s="10" t="s">
        <v>99</v>
      </c>
      <c r="E5" s="10" t="s">
        <v>101</v>
      </c>
      <c r="F5" s="10" t="s">
        <v>16</v>
      </c>
      <c r="G5" s="9" t="s">
        <v>104</v>
      </c>
    </row>
    <row r="6" customFormat="false" ht="23.85" hidden="false" customHeight="false" outlineLevel="0" collapsed="false">
      <c r="A6" s="10" t="n">
        <v>5</v>
      </c>
      <c r="B6" s="9" t="s">
        <v>105</v>
      </c>
      <c r="C6" s="10" t="s">
        <v>100</v>
      </c>
      <c r="D6" s="10" t="s">
        <v>93</v>
      </c>
      <c r="E6" s="10" t="s">
        <v>101</v>
      </c>
      <c r="F6" s="10" t="s">
        <v>16</v>
      </c>
      <c r="G6" s="9" t="s">
        <v>106</v>
      </c>
    </row>
    <row r="7" customFormat="false" ht="15" hidden="false" customHeight="false" outlineLevel="0" collapsed="false">
      <c r="A7" s="10" t="n">
        <v>6</v>
      </c>
      <c r="B7" s="9" t="s">
        <v>107</v>
      </c>
      <c r="C7" s="10" t="s">
        <v>108</v>
      </c>
      <c r="D7" s="10" t="s">
        <v>105</v>
      </c>
      <c r="E7" s="10" t="s">
        <v>101</v>
      </c>
      <c r="F7" s="10" t="s">
        <v>16</v>
      </c>
      <c r="G7" s="9" t="s">
        <v>109</v>
      </c>
    </row>
    <row r="8" customFormat="false" ht="15" hidden="false" customHeight="false" outlineLevel="0" collapsed="false">
      <c r="A8" s="10" t="n">
        <v>7</v>
      </c>
      <c r="B8" s="9" t="s">
        <v>110</v>
      </c>
      <c r="C8" s="10" t="s">
        <v>108</v>
      </c>
      <c r="D8" s="10" t="s">
        <v>107</v>
      </c>
      <c r="E8" s="10" t="s">
        <v>101</v>
      </c>
      <c r="F8" s="10" t="s">
        <v>16</v>
      </c>
      <c r="G8" s="9" t="s">
        <v>111</v>
      </c>
    </row>
    <row r="9" customFormat="false" ht="15" hidden="false" customHeight="false" outlineLevel="0" collapsed="false">
      <c r="A9" s="10" t="n">
        <v>8</v>
      </c>
      <c r="B9" s="9" t="s">
        <v>112</v>
      </c>
      <c r="C9" s="10" t="s">
        <v>108</v>
      </c>
      <c r="D9" s="10" t="s">
        <v>113</v>
      </c>
      <c r="E9" s="10" t="s">
        <v>101</v>
      </c>
      <c r="F9" s="10" t="s">
        <v>16</v>
      </c>
      <c r="G9" s="9" t="s">
        <v>114</v>
      </c>
    </row>
    <row r="10" customFormat="false" ht="15" hidden="false" customHeight="false" outlineLevel="0" collapsed="false">
      <c r="A10" s="10" t="n">
        <v>9</v>
      </c>
      <c r="B10" s="9" t="s">
        <v>115</v>
      </c>
      <c r="C10" s="10" t="s">
        <v>108</v>
      </c>
      <c r="D10" s="10" t="s">
        <v>105</v>
      </c>
      <c r="E10" s="10" t="s">
        <v>101</v>
      </c>
      <c r="F10" s="10" t="s">
        <v>16</v>
      </c>
      <c r="G10" s="9" t="s">
        <v>116</v>
      </c>
    </row>
    <row r="11" customFormat="false" ht="15" hidden="false" customHeight="false" outlineLevel="0" collapsed="false">
      <c r="A11" s="10" t="n">
        <v>10</v>
      </c>
      <c r="B11" s="9" t="s">
        <v>117</v>
      </c>
      <c r="C11" s="10" t="s">
        <v>118</v>
      </c>
      <c r="D11" s="10" t="s">
        <v>93</v>
      </c>
      <c r="E11" s="10" t="s">
        <v>101</v>
      </c>
      <c r="F11" s="10" t="s">
        <v>16</v>
      </c>
      <c r="G11" s="9" t="s">
        <v>119</v>
      </c>
    </row>
    <row r="12" customFormat="false" ht="15" hidden="false" customHeight="false" outlineLevel="0" collapsed="false">
      <c r="A12" s="10" t="n">
        <v>11</v>
      </c>
      <c r="B12" s="9" t="s">
        <v>120</v>
      </c>
      <c r="C12" s="10" t="s">
        <v>121</v>
      </c>
      <c r="D12" s="10" t="s">
        <v>122</v>
      </c>
      <c r="E12" s="10" t="s">
        <v>123</v>
      </c>
      <c r="F12" s="10" t="s">
        <v>16</v>
      </c>
      <c r="G12" s="9" t="s">
        <v>124</v>
      </c>
    </row>
  </sheetData>
  <dataValidations count="2">
    <dataValidation allowBlank="true" errorStyle="stop" operator="between" showDropDown="false" showErrorMessage="false" showInputMessage="false" sqref="C2:C12" type="list">
      <formula1>"Critical,High,Medium,Low,Existing"</formula1>
      <formula2>0</formula2>
    </dataValidation>
    <dataValidation allowBlank="true" errorStyle="stop" operator="between" showDropDown="false" showErrorMessage="false" showInputMessage="false" sqref="F2:F12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5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8" t="s">
        <v>125</v>
      </c>
      <c r="B1" s="8" t="s">
        <v>126</v>
      </c>
      <c r="C1" s="8" t="s">
        <v>127</v>
      </c>
      <c r="D1" s="8" t="s">
        <v>128</v>
      </c>
      <c r="E1" s="8" t="s">
        <v>11</v>
      </c>
    </row>
    <row r="2" customFormat="false" ht="23.85" hidden="false" customHeight="false" outlineLevel="0" collapsed="false">
      <c r="A2" s="9" t="s">
        <v>129</v>
      </c>
      <c r="B2" s="10" t="s">
        <v>108</v>
      </c>
      <c r="C2" s="10" t="s">
        <v>100</v>
      </c>
      <c r="D2" s="9" t="s">
        <v>130</v>
      </c>
      <c r="E2" s="10" t="s">
        <v>131</v>
      </c>
    </row>
    <row r="3" customFormat="false" ht="23.85" hidden="false" customHeight="false" outlineLevel="0" collapsed="false">
      <c r="A3" s="9" t="s">
        <v>132</v>
      </c>
      <c r="B3" s="10" t="s">
        <v>108</v>
      </c>
      <c r="C3" s="10" t="s">
        <v>100</v>
      </c>
      <c r="D3" s="9" t="s">
        <v>133</v>
      </c>
      <c r="E3" s="10" t="s">
        <v>131</v>
      </c>
    </row>
    <row r="4" customFormat="false" ht="23.85" hidden="false" customHeight="false" outlineLevel="0" collapsed="false">
      <c r="A4" s="9" t="s">
        <v>134</v>
      </c>
      <c r="B4" s="10" t="s">
        <v>108</v>
      </c>
      <c r="C4" s="10" t="s">
        <v>108</v>
      </c>
      <c r="D4" s="9" t="s">
        <v>135</v>
      </c>
      <c r="E4" s="10" t="s">
        <v>131</v>
      </c>
    </row>
    <row r="5" customFormat="false" ht="23.85" hidden="false" customHeight="false" outlineLevel="0" collapsed="false">
      <c r="A5" s="9" t="s">
        <v>136</v>
      </c>
      <c r="B5" s="10" t="s">
        <v>108</v>
      </c>
      <c r="C5" s="10" t="s">
        <v>100</v>
      </c>
      <c r="D5" s="9" t="s">
        <v>137</v>
      </c>
      <c r="E5" s="10" t="s">
        <v>131</v>
      </c>
    </row>
    <row r="6" customFormat="false" ht="35.05" hidden="false" customHeight="false" outlineLevel="0" collapsed="false">
      <c r="A6" s="9" t="s">
        <v>138</v>
      </c>
      <c r="B6" s="10" t="s">
        <v>118</v>
      </c>
      <c r="C6" s="10" t="s">
        <v>108</v>
      </c>
      <c r="D6" s="9" t="s">
        <v>139</v>
      </c>
      <c r="E6" s="10" t="s">
        <v>131</v>
      </c>
    </row>
    <row r="7" customFormat="false" ht="35.05" hidden="false" customHeight="false" outlineLevel="0" collapsed="false">
      <c r="A7" s="9" t="s">
        <v>140</v>
      </c>
      <c r="B7" s="10" t="s">
        <v>118</v>
      </c>
      <c r="C7" s="10" t="s">
        <v>118</v>
      </c>
      <c r="D7" s="9" t="s">
        <v>141</v>
      </c>
      <c r="E7" s="1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2026-07-09T18:15:18Z</dcterms:created>
  <dc:creator>openpyxl</dc:creator>
  <dc:description/>
  <dc:language>en-US</dc:language>
  <cp:lastModifiedBy/>
  <dcterms:modified xsi:type="dcterms:W3CDTF">2026-07-09T18:15:18Z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